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快盘\大作业\"/>
    </mc:Choice>
  </mc:AlternateContent>
  <bookViews>
    <workbookView xWindow="2460" yWindow="14715" windowWidth="38400" windowHeight="21615" activeTab="1"/>
  </bookViews>
  <sheets>
    <sheet name="基本数据" sheetId="1" r:id="rId1"/>
    <sheet name="2" sheetId="3" r:id="rId2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0" i="1" l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C10" i="1"/>
  <c r="D10" i="1"/>
  <c r="E10" i="1"/>
  <c r="F10" i="1"/>
  <c r="G10" i="1"/>
  <c r="H10" i="1"/>
  <c r="I10" i="1"/>
  <c r="B10" i="1"/>
  <c r="O4" i="1"/>
  <c r="Z8" i="1"/>
</calcChain>
</file>

<file path=xl/sharedStrings.xml><?xml version="1.0" encoding="utf-8"?>
<sst xmlns="http://schemas.openxmlformats.org/spreadsheetml/2006/main" count="23" uniqueCount="23">
  <si>
    <t>温度</t>
    <phoneticPr fontId="2" type="noConversion"/>
  </si>
  <si>
    <t>时刻</t>
    <phoneticPr fontId="2" type="noConversion"/>
  </si>
  <si>
    <t>月份天数</t>
    <phoneticPr fontId="2" type="noConversion"/>
  </si>
  <si>
    <t>分压力 kpa</t>
    <phoneticPr fontId="2" type="noConversion"/>
  </si>
  <si>
    <t>序号</t>
    <phoneticPr fontId="2" type="noConversion"/>
  </si>
  <si>
    <t>项目</t>
    <phoneticPr fontId="2" type="noConversion"/>
  </si>
  <si>
    <t xml:space="preserve">真太阳时间角  </t>
    <phoneticPr fontId="2" type="noConversion"/>
  </si>
  <si>
    <t>太阳直射辐射</t>
    <phoneticPr fontId="2" type="noConversion"/>
  </si>
  <si>
    <t>天空散射辐射</t>
    <phoneticPr fontId="2" type="noConversion"/>
  </si>
  <si>
    <t>综合室外空气温度</t>
    <phoneticPr fontId="2" type="noConversion"/>
  </si>
  <si>
    <t>当量温差</t>
    <phoneticPr fontId="2" type="noConversion"/>
  </si>
  <si>
    <t>窗户导热换热量</t>
    <phoneticPr fontId="2" type="noConversion"/>
  </si>
  <si>
    <t>窗户辐射换热量</t>
    <phoneticPr fontId="2" type="noConversion"/>
  </si>
  <si>
    <t>太阳高度角</t>
    <phoneticPr fontId="2" type="noConversion"/>
  </si>
  <si>
    <t>太阳方位角</t>
    <phoneticPr fontId="2" type="noConversion"/>
  </si>
  <si>
    <t>太阳入射角</t>
    <phoneticPr fontId="2" type="noConversion"/>
  </si>
  <si>
    <t>大气质量</t>
    <phoneticPr fontId="2" type="noConversion"/>
  </si>
  <si>
    <t>大气透明度</t>
    <phoneticPr fontId="2" type="noConversion"/>
  </si>
  <si>
    <t>太阳总辐射</t>
    <phoneticPr fontId="2" type="noConversion"/>
  </si>
  <si>
    <t>室外空气温度</t>
    <phoneticPr fontId="2" type="noConversion"/>
  </si>
  <si>
    <t>外壁吸热</t>
    <phoneticPr fontId="2" type="noConversion"/>
  </si>
  <si>
    <t>壁面传热量</t>
    <phoneticPr fontId="2" type="noConversion"/>
  </si>
  <si>
    <t>热负荷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</si>
</sst>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6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8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4" fillId="2" borderId="1" xfId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quotePrefix="1" applyAlignment="1">
      <alignment horizontal="center" vertical="center"/>
    </xf>
  </cellXfs>
  <cellStyles count="2">
    <cellStyle name="40% - 着色 3" xfId="1" builtinId="39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0"/>
  <sheetViews>
    <sheetView topLeftCell="K4" zoomScale="130" zoomScaleNormal="130" zoomScalePageLayoutView="85" workbookViewId="0">
      <selection activeCell="Y10" sqref="Y10"/>
    </sheetView>
  </sheetViews>
  <sheetFormatPr defaultColWidth="8.875" defaultRowHeight="13.5" x14ac:dyDescent="0.15"/>
  <cols>
    <col min="2" max="2" width="12.5" customWidth="1"/>
    <col min="15" max="15" width="11.625" bestFit="1" customWidth="1"/>
  </cols>
  <sheetData>
    <row r="1" spans="1:26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</row>
    <row r="3" spans="1:26" x14ac:dyDescent="0.1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O3" s="2">
        <v>41628.199999999997</v>
      </c>
    </row>
    <row r="4" spans="1:26" x14ac:dyDescent="0.15">
      <c r="A4" t="s">
        <v>2</v>
      </c>
      <c r="B4">
        <v>31</v>
      </c>
      <c r="C4">
        <v>28</v>
      </c>
      <c r="D4">
        <v>31</v>
      </c>
      <c r="E4">
        <v>30</v>
      </c>
      <c r="F4">
        <v>31</v>
      </c>
      <c r="G4">
        <v>30</v>
      </c>
      <c r="H4">
        <v>31</v>
      </c>
      <c r="I4">
        <v>31</v>
      </c>
      <c r="J4">
        <v>30</v>
      </c>
      <c r="K4">
        <v>31</v>
      </c>
      <c r="L4">
        <v>30</v>
      </c>
      <c r="M4">
        <v>31</v>
      </c>
      <c r="O4">
        <f>SUM(B4:L4)+20</f>
        <v>354</v>
      </c>
    </row>
    <row r="7" spans="1:26" ht="22.5" x14ac:dyDescent="0.15">
      <c r="A7" s="1" t="s">
        <v>1</v>
      </c>
      <c r="B7" s="1">
        <v>0</v>
      </c>
      <c r="C7" s="1">
        <v>1</v>
      </c>
      <c r="D7" s="1">
        <v>2</v>
      </c>
      <c r="E7" s="1">
        <v>3</v>
      </c>
      <c r="F7" s="1">
        <v>4</v>
      </c>
      <c r="G7" s="1">
        <v>5</v>
      </c>
      <c r="H7" s="1">
        <v>6</v>
      </c>
      <c r="I7" s="1">
        <v>7</v>
      </c>
      <c r="J7" s="1">
        <v>8</v>
      </c>
      <c r="K7" s="1">
        <v>9</v>
      </c>
      <c r="L7" s="1">
        <v>10</v>
      </c>
      <c r="M7" s="1">
        <v>11</v>
      </c>
      <c r="N7" s="1">
        <v>12</v>
      </c>
      <c r="O7" s="1">
        <v>13</v>
      </c>
      <c r="P7" s="1">
        <v>14</v>
      </c>
      <c r="Q7" s="1">
        <v>15</v>
      </c>
      <c r="R7" s="1">
        <v>16</v>
      </c>
      <c r="S7" s="1">
        <v>17</v>
      </c>
      <c r="T7" s="1">
        <v>18</v>
      </c>
      <c r="U7" s="1">
        <v>19</v>
      </c>
      <c r="V7" s="1">
        <v>20</v>
      </c>
      <c r="W7" s="1">
        <v>21</v>
      </c>
      <c r="X7" s="1">
        <v>22</v>
      </c>
      <c r="Y7" s="1">
        <v>23</v>
      </c>
    </row>
    <row r="8" spans="1:26" ht="22.5" x14ac:dyDescent="0.15">
      <c r="A8" s="1" t="s">
        <v>0</v>
      </c>
      <c r="B8" s="1">
        <v>1.1032999999999999</v>
      </c>
      <c r="C8" s="1">
        <v>1.2765960000000001</v>
      </c>
      <c r="D8" s="1">
        <v>0.25531900000000002</v>
      </c>
      <c r="E8" s="1">
        <v>0.25531900000000002</v>
      </c>
      <c r="F8" s="1">
        <v>-1.4468099999999999</v>
      </c>
      <c r="G8" s="1">
        <v>-1.7872300000000001</v>
      </c>
      <c r="H8" s="1">
        <v>-2.8085100000000001</v>
      </c>
      <c r="I8" s="1">
        <v>-2.8085100000000001</v>
      </c>
      <c r="J8" s="1">
        <v>-2.8085100000000001</v>
      </c>
      <c r="K8" s="1">
        <v>-0.93616999999999995</v>
      </c>
      <c r="L8" s="1">
        <v>1.2765960000000001</v>
      </c>
      <c r="M8" s="1">
        <v>3.148936</v>
      </c>
      <c r="N8" s="1">
        <v>3.148936</v>
      </c>
      <c r="O8" s="1">
        <v>4.3404259999999999</v>
      </c>
      <c r="P8" s="1">
        <v>4.1702130000000004</v>
      </c>
      <c r="Q8" s="1">
        <v>4.1702130000000004</v>
      </c>
      <c r="R8" s="1">
        <v>3.148936</v>
      </c>
      <c r="S8" s="1">
        <v>2.2978719999999999</v>
      </c>
      <c r="T8" s="1">
        <v>1.2765960000000001</v>
      </c>
      <c r="U8" s="1">
        <v>0.25531914900000002</v>
      </c>
      <c r="V8" s="1">
        <v>-0.76595999999999997</v>
      </c>
      <c r="W8" s="1">
        <v>-1.7872300000000001</v>
      </c>
      <c r="X8" s="1">
        <v>-1.7872300000000001</v>
      </c>
      <c r="Y8" s="1">
        <v>-0.76595999999999997</v>
      </c>
      <c r="Z8">
        <f>AVERAGE(B8:Y8)</f>
        <v>0.51760238120833335</v>
      </c>
    </row>
    <row r="9" spans="1:26" x14ac:dyDescent="0.15">
      <c r="B9">
        <v>158.85</v>
      </c>
      <c r="C9">
        <v>160.85</v>
      </c>
      <c r="D9">
        <v>149.41</v>
      </c>
      <c r="E9">
        <v>149.41</v>
      </c>
      <c r="F9">
        <v>131.91999999999999</v>
      </c>
      <c r="G9">
        <v>128.66</v>
      </c>
      <c r="H9">
        <v>119.3</v>
      </c>
      <c r="I9">
        <v>119.3</v>
      </c>
      <c r="J9">
        <v>119.3</v>
      </c>
      <c r="K9">
        <v>136.94999999999999</v>
      </c>
      <c r="L9">
        <v>160.85</v>
      </c>
      <c r="M9">
        <v>183.84</v>
      </c>
      <c r="N9">
        <v>183.84</v>
      </c>
      <c r="O9">
        <v>199.94</v>
      </c>
      <c r="P9">
        <v>197.56</v>
      </c>
      <c r="Q9">
        <v>197.56</v>
      </c>
      <c r="R9">
        <v>183.84</v>
      </c>
      <c r="S9">
        <v>173.05</v>
      </c>
      <c r="T9">
        <v>160.85</v>
      </c>
      <c r="U9">
        <v>149.41</v>
      </c>
      <c r="V9">
        <v>138.66999999999999</v>
      </c>
      <c r="W9">
        <v>128.66</v>
      </c>
      <c r="X9">
        <v>128.66</v>
      </c>
      <c r="Y9">
        <v>138.66999999999999</v>
      </c>
    </row>
    <row r="10" spans="1:26" x14ac:dyDescent="0.15">
      <c r="A10" t="s">
        <v>3</v>
      </c>
      <c r="B10">
        <f t="shared" ref="B10:Y10" si="0">B9/1000</f>
        <v>0.15884999999999999</v>
      </c>
      <c r="C10">
        <f t="shared" si="0"/>
        <v>0.16084999999999999</v>
      </c>
      <c r="D10">
        <f t="shared" si="0"/>
        <v>0.14940999999999999</v>
      </c>
      <c r="E10">
        <f t="shared" si="0"/>
        <v>0.14940999999999999</v>
      </c>
      <c r="F10">
        <f t="shared" si="0"/>
        <v>0.13191999999999998</v>
      </c>
      <c r="G10">
        <f t="shared" si="0"/>
        <v>0.12866</v>
      </c>
      <c r="H10">
        <f t="shared" si="0"/>
        <v>0.1193</v>
      </c>
      <c r="I10">
        <f t="shared" si="0"/>
        <v>0.1193</v>
      </c>
      <c r="J10">
        <f t="shared" si="0"/>
        <v>0.1193</v>
      </c>
      <c r="K10">
        <f t="shared" si="0"/>
        <v>0.13694999999999999</v>
      </c>
      <c r="L10">
        <f t="shared" si="0"/>
        <v>0.16084999999999999</v>
      </c>
      <c r="M10">
        <f t="shared" si="0"/>
        <v>0.18384</v>
      </c>
      <c r="N10">
        <f t="shared" si="0"/>
        <v>0.18384</v>
      </c>
      <c r="O10">
        <f t="shared" si="0"/>
        <v>0.19994000000000001</v>
      </c>
      <c r="P10">
        <f t="shared" si="0"/>
        <v>0.19756000000000001</v>
      </c>
      <c r="Q10">
        <f t="shared" si="0"/>
        <v>0.19756000000000001</v>
      </c>
      <c r="R10">
        <f t="shared" si="0"/>
        <v>0.18384</v>
      </c>
      <c r="S10">
        <f t="shared" si="0"/>
        <v>0.17305000000000001</v>
      </c>
      <c r="T10">
        <f t="shared" si="0"/>
        <v>0.16084999999999999</v>
      </c>
      <c r="U10">
        <f t="shared" si="0"/>
        <v>0.14940999999999999</v>
      </c>
      <c r="V10">
        <f t="shared" si="0"/>
        <v>0.13866999999999999</v>
      </c>
      <c r="W10">
        <f t="shared" si="0"/>
        <v>0.12866</v>
      </c>
      <c r="X10">
        <f t="shared" si="0"/>
        <v>0.12866</v>
      </c>
      <c r="Y10">
        <f t="shared" si="0"/>
        <v>0.13866999999999999</v>
      </c>
    </row>
    <row r="19" spans="27:27" x14ac:dyDescent="0.15">
      <c r="AA19" s="7"/>
    </row>
    <row r="20" spans="27:27" x14ac:dyDescent="0.15">
      <c r="AA20" s="7"/>
    </row>
  </sheetData>
  <mergeCells count="1">
    <mergeCell ref="AA19:AA20"/>
  </mergeCells>
  <phoneticPr fontId="2" type="noConversion"/>
  <conditionalFormatting sqref="B8:Y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AB20"/>
  <sheetViews>
    <sheetView tabSelected="1" workbookViewId="0">
      <selection activeCell="E3" sqref="E3:AB20"/>
    </sheetView>
  </sheetViews>
  <sheetFormatPr defaultRowHeight="13.5" x14ac:dyDescent="0.15"/>
  <sheetData>
    <row r="2" spans="3:28" x14ac:dyDescent="0.15">
      <c r="C2" s="3" t="s">
        <v>4</v>
      </c>
      <c r="D2" s="3" t="s">
        <v>5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3:28" x14ac:dyDescent="0.15">
      <c r="C3" s="4">
        <v>1</v>
      </c>
      <c r="D3" s="4" t="s">
        <v>6</v>
      </c>
      <c r="E3" s="6">
        <v>-182.13980648859666</v>
      </c>
      <c r="F3" s="6">
        <v>-167.13980648859666</v>
      </c>
      <c r="G3" s="6">
        <v>-152.13980648859666</v>
      </c>
      <c r="H3" s="6">
        <v>-137.13980648859666</v>
      </c>
      <c r="I3" s="6">
        <v>-122.13980648859665</v>
      </c>
      <c r="J3" s="6">
        <v>-107.13980648859665</v>
      </c>
      <c r="K3" s="6">
        <v>-92.139806488596648</v>
      </c>
      <c r="L3" s="6">
        <v>-77.139806488596648</v>
      </c>
      <c r="M3" s="6">
        <v>-62.139806488596648</v>
      </c>
      <c r="N3" s="6">
        <v>-47.139806488596648</v>
      </c>
      <c r="O3" s="6">
        <v>-32.139806488596648</v>
      </c>
      <c r="P3" s="6">
        <v>-17.139806488596648</v>
      </c>
      <c r="Q3" s="6">
        <v>-2.1398064885966495</v>
      </c>
      <c r="R3" s="6">
        <v>12.860193511403351</v>
      </c>
      <c r="S3" s="6">
        <v>27.860193511403352</v>
      </c>
      <c r="T3" s="6">
        <v>42.860193511403352</v>
      </c>
      <c r="U3" s="6">
        <v>57.860193511403352</v>
      </c>
      <c r="V3" s="6">
        <v>72.860193511403324</v>
      </c>
      <c r="W3" s="6">
        <v>87.860193511403324</v>
      </c>
      <c r="X3" s="6">
        <v>102.86019351140332</v>
      </c>
      <c r="Y3" s="6">
        <v>117.86019351140332</v>
      </c>
      <c r="Z3" s="6">
        <v>132.86019351140334</v>
      </c>
      <c r="AA3" s="6">
        <v>147.86019351140334</v>
      </c>
      <c r="AB3" s="6">
        <v>162.86019351140334</v>
      </c>
    </row>
    <row r="4" spans="3:28" x14ac:dyDescent="0.15">
      <c r="C4" s="4">
        <v>2</v>
      </c>
      <c r="D4" s="4" t="s">
        <v>13</v>
      </c>
      <c r="E4" s="6">
        <v>-74.217633278840665</v>
      </c>
      <c r="F4" s="6">
        <v>-70.897749109254065</v>
      </c>
      <c r="G4" s="6">
        <v>-61.673658697348131</v>
      </c>
      <c r="H4" s="6">
        <v>-50.595082591074529</v>
      </c>
      <c r="I4" s="6">
        <v>-39.015222908685907</v>
      </c>
      <c r="J4" s="6">
        <v>-27.423129909075808</v>
      </c>
      <c r="K4" s="6">
        <v>-16.098407143934605</v>
      </c>
      <c r="L4" s="6">
        <v>-5.2905169237219329</v>
      </c>
      <c r="M4" s="6">
        <v>4.7078631779518769</v>
      </c>
      <c r="N4" s="6">
        <v>13.513725483398746</v>
      </c>
      <c r="O4" s="6">
        <v>20.626328463059913</v>
      </c>
      <c r="P4" s="6">
        <v>25.453199487031629</v>
      </c>
      <c r="Q4" s="6">
        <v>27.445360954229855</v>
      </c>
      <c r="R4" s="6">
        <v>26.329763774628923</v>
      </c>
      <c r="S4" s="6">
        <v>22.263091223596152</v>
      </c>
      <c r="T4" s="6">
        <v>15.740440916446962</v>
      </c>
      <c r="U4" s="6">
        <v>7.3614083647405906</v>
      </c>
      <c r="V4" s="6">
        <v>-2.3406719678183632</v>
      </c>
      <c r="W4" s="6">
        <v>-12.950623712695252</v>
      </c>
      <c r="X4" s="6">
        <v>-24.154178001101961</v>
      </c>
      <c r="Y4" s="6">
        <v>-35.69529388809697</v>
      </c>
      <c r="Z4" s="6">
        <v>-47.313766473207338</v>
      </c>
      <c r="AA4" s="6">
        <v>-58.613217998788699</v>
      </c>
      <c r="AB4" s="6">
        <v>-68.618396646287565</v>
      </c>
    </row>
    <row r="5" spans="3:28" x14ac:dyDescent="0.15">
      <c r="C5" s="4">
        <v>3</v>
      </c>
      <c r="D5" s="4" t="s">
        <v>14</v>
      </c>
      <c r="E5" s="6">
        <v>7.2366539737637563</v>
      </c>
      <c r="F5" s="6">
        <v>-38.614491298838232</v>
      </c>
      <c r="G5" s="6">
        <v>-64.651215017758432</v>
      </c>
      <c r="H5" s="6">
        <v>-79.496981459415423</v>
      </c>
      <c r="I5" s="6">
        <v>-89.954187361265042</v>
      </c>
      <c r="J5" s="6">
        <v>-81.059954475476047</v>
      </c>
      <c r="K5" s="6">
        <v>-72.627271155771325</v>
      </c>
      <c r="L5" s="6">
        <v>-63.949632952469351</v>
      </c>
      <c r="M5" s="6">
        <v>-54.487225663035154</v>
      </c>
      <c r="N5" s="6">
        <v>-43.770066490928116</v>
      </c>
      <c r="O5" s="6">
        <v>-31.438630632935801</v>
      </c>
      <c r="P5" s="6">
        <v>-17.42694729151393</v>
      </c>
      <c r="Q5" s="6">
        <v>-2.2125327152032108</v>
      </c>
      <c r="R5" s="6">
        <v>13.171867738088579</v>
      </c>
      <c r="S5" s="6">
        <v>27.603411533429558</v>
      </c>
      <c r="T5" s="6">
        <v>40.426994431967046</v>
      </c>
      <c r="U5" s="6">
        <v>51.576239817046975</v>
      </c>
      <c r="V5" s="6">
        <v>61.351608413279848</v>
      </c>
      <c r="W5" s="6">
        <v>70.201754593853138</v>
      </c>
      <c r="X5" s="6">
        <v>78.642954542525516</v>
      </c>
      <c r="Y5" s="6">
        <v>87.314807127139517</v>
      </c>
      <c r="Z5" s="6">
        <v>82.784357821984642</v>
      </c>
      <c r="AA5" s="6">
        <v>69.600589492061673</v>
      </c>
      <c r="AB5" s="6">
        <v>47.879412687352172</v>
      </c>
    </row>
    <row r="6" spans="3:28" x14ac:dyDescent="0.15">
      <c r="C6" s="4">
        <v>4</v>
      </c>
      <c r="D6" s="4" t="s">
        <v>15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85.292136822048107</v>
      </c>
      <c r="N6" s="6">
        <v>76.48627451660127</v>
      </c>
      <c r="O6" s="6">
        <v>69.373671536940094</v>
      </c>
      <c r="P6" s="6">
        <v>64.546800512968375</v>
      </c>
      <c r="Q6" s="6">
        <v>62.554639045770145</v>
      </c>
      <c r="R6" s="6">
        <v>63.670236225371077</v>
      </c>
      <c r="S6" s="6">
        <v>67.736908776403851</v>
      </c>
      <c r="T6" s="6">
        <v>74.259559083553043</v>
      </c>
      <c r="U6" s="6">
        <v>82.638591635259402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</row>
    <row r="7" spans="3:28" x14ac:dyDescent="0.15">
      <c r="C7" s="4">
        <v>5</v>
      </c>
      <c r="D7" s="4" t="s">
        <v>16</v>
      </c>
      <c r="E7" s="6">
        <v>-1.0391750878737698</v>
      </c>
      <c r="F7" s="6">
        <v>-1.0582726662776634</v>
      </c>
      <c r="G7" s="6">
        <v>-1.136028892557966</v>
      </c>
      <c r="H7" s="6">
        <v>-1.2941983374137382</v>
      </c>
      <c r="I7" s="6">
        <v>-1.5884946005761234</v>
      </c>
      <c r="J7" s="6">
        <v>-2.17127846991505</v>
      </c>
      <c r="K7" s="6">
        <v>-3.606359473376374</v>
      </c>
      <c r="L7" s="6">
        <v>-10.845306755069656</v>
      </c>
      <c r="M7" s="6">
        <v>12.183935801983928</v>
      </c>
      <c r="N7" s="6">
        <v>4.279387643085915</v>
      </c>
      <c r="O7" s="6">
        <v>2.8387175703618923</v>
      </c>
      <c r="P7" s="6">
        <v>2.3268059402133963</v>
      </c>
      <c r="Q7" s="6">
        <v>2.169656167913911</v>
      </c>
      <c r="R7" s="6">
        <v>2.2546041797490974</v>
      </c>
      <c r="S7" s="6">
        <v>2.6394968854869467</v>
      </c>
      <c r="T7" s="6">
        <v>3.6862299840259971</v>
      </c>
      <c r="U7" s="6">
        <v>7.8047180734487691</v>
      </c>
      <c r="V7" s="6">
        <v>-24.485156582641878</v>
      </c>
      <c r="W7" s="6">
        <v>-4.4620690327912049</v>
      </c>
      <c r="X7" s="6">
        <v>-2.4438319467996101</v>
      </c>
      <c r="Y7" s="6">
        <v>-1.7138709364731854</v>
      </c>
      <c r="Z7" s="6">
        <v>-1.3604007452869735</v>
      </c>
      <c r="AA7" s="6">
        <v>-1.1714115096689104</v>
      </c>
      <c r="AB7" s="6">
        <v>-1.0739143880026676</v>
      </c>
    </row>
    <row r="8" spans="3:28" x14ac:dyDescent="0.15">
      <c r="C8" s="4">
        <v>6</v>
      </c>
      <c r="D8" s="4" t="s">
        <v>17</v>
      </c>
      <c r="E8" s="6">
        <v>1.6433928166104357</v>
      </c>
      <c r="F8" s="6">
        <v>1.6584645785252705</v>
      </c>
      <c r="G8" s="6">
        <v>1.7212701567948194</v>
      </c>
      <c r="H8" s="6">
        <v>1.8564631380169698</v>
      </c>
      <c r="I8" s="6">
        <v>2.1369023677073615</v>
      </c>
      <c r="J8" s="6">
        <v>2.8234197920135014</v>
      </c>
      <c r="K8" s="6">
        <v>5.6067371623490505</v>
      </c>
      <c r="L8" s="6">
        <v>178.47435137728993</v>
      </c>
      <c r="M8" s="6">
        <v>2.9547019098626458E-3</v>
      </c>
      <c r="N8" s="6">
        <v>0.12928959095391779</v>
      </c>
      <c r="O8" s="6">
        <v>0.25742969445550629</v>
      </c>
      <c r="P8" s="6">
        <v>0.32880298371942002</v>
      </c>
      <c r="Q8" s="6">
        <v>0.35445519722554758</v>
      </c>
      <c r="R8" s="6">
        <v>0.34034974957477626</v>
      </c>
      <c r="S8" s="6">
        <v>0.28315126814165292</v>
      </c>
      <c r="T8" s="6">
        <v>0.1716753813938488</v>
      </c>
      <c r="U8" s="6">
        <v>2.3970421280298138E-2</v>
      </c>
      <c r="V8" s="6">
        <v>121149.60165379751</v>
      </c>
      <c r="W8" s="6">
        <v>8.4403919234149463</v>
      </c>
      <c r="X8" s="6">
        <v>3.2163242236877192</v>
      </c>
      <c r="Y8" s="6">
        <v>2.2688921343770092</v>
      </c>
      <c r="Z8" s="6">
        <v>1.9161543981291738</v>
      </c>
      <c r="AA8" s="6">
        <v>1.7506316037659297</v>
      </c>
      <c r="AB8" s="6">
        <v>1.6709118988472695</v>
      </c>
    </row>
    <row r="9" spans="3:28" x14ac:dyDescent="0.15">
      <c r="C9" s="4">
        <v>7</v>
      </c>
      <c r="D9" s="4" t="s">
        <v>7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0.3281133247101663</v>
      </c>
      <c r="N9" s="6">
        <v>40.877067269958147</v>
      </c>
      <c r="O9" s="6">
        <v>122.69708696448333</v>
      </c>
      <c r="P9" s="6">
        <v>191.19361408007026</v>
      </c>
      <c r="Q9" s="6">
        <v>221.03865531250153</v>
      </c>
      <c r="R9" s="6">
        <v>204.24570100190184</v>
      </c>
      <c r="S9" s="6">
        <v>145.14268529814146</v>
      </c>
      <c r="T9" s="6">
        <v>63.012018249656556</v>
      </c>
      <c r="U9" s="6">
        <v>4.1554326097409273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</row>
    <row r="10" spans="3:28" x14ac:dyDescent="0.15">
      <c r="C10" s="4">
        <v>8</v>
      </c>
      <c r="D10" s="4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33.164516656899409</v>
      </c>
      <c r="N10" s="6">
        <v>82.459081414524022</v>
      </c>
      <c r="O10" s="6">
        <v>106.01364746900087</v>
      </c>
      <c r="P10" s="6">
        <v>116.90584836133348</v>
      </c>
      <c r="Q10" s="6">
        <v>120.58182654029378</v>
      </c>
      <c r="R10" s="6">
        <v>118.57409218026187</v>
      </c>
      <c r="S10" s="6">
        <v>110.06589055644773</v>
      </c>
      <c r="T10" s="6">
        <v>91.067733149502388</v>
      </c>
      <c r="U10" s="6">
        <v>50.681813196583164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</row>
    <row r="11" spans="3:28" x14ac:dyDescent="0.15">
      <c r="C11" s="4">
        <v>9</v>
      </c>
      <c r="D11" s="4" t="s">
        <v>18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33.492629981609575</v>
      </c>
      <c r="N11" s="6">
        <v>123.33614868448217</v>
      </c>
      <c r="O11" s="6">
        <v>228.71073443348422</v>
      </c>
      <c r="P11" s="6">
        <v>308.09946244140372</v>
      </c>
      <c r="Q11" s="6">
        <v>341.62048185279531</v>
      </c>
      <c r="R11" s="6">
        <v>322.81979318216372</v>
      </c>
      <c r="S11" s="6">
        <v>255.20857585458918</v>
      </c>
      <c r="T11" s="6">
        <v>154.07975139915894</v>
      </c>
      <c r="U11" s="6">
        <v>54.837245806324091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</row>
    <row r="12" spans="3:28" x14ac:dyDescent="0.15">
      <c r="C12" s="4">
        <v>10</v>
      </c>
      <c r="D12" s="4" t="s">
        <v>19</v>
      </c>
      <c r="E12" s="6">
        <v>1.1032999999999999</v>
      </c>
      <c r="F12" s="6">
        <v>1.2765960000000001</v>
      </c>
      <c r="G12" s="6">
        <v>0.25531900000000002</v>
      </c>
      <c r="H12" s="6">
        <v>0.25531900000000002</v>
      </c>
      <c r="I12" s="6">
        <v>-1.4468099999999999</v>
      </c>
      <c r="J12" s="6">
        <v>-1.7872300000000001</v>
      </c>
      <c r="K12" s="6">
        <v>-2.8085100000000001</v>
      </c>
      <c r="L12" s="6">
        <v>-2.8085100000000001</v>
      </c>
      <c r="M12" s="6">
        <v>-2.8085100000000001</v>
      </c>
      <c r="N12" s="6">
        <v>-0.93616999999999995</v>
      </c>
      <c r="O12" s="6">
        <v>1.2765960000000001</v>
      </c>
      <c r="P12" s="6">
        <v>3.148936</v>
      </c>
      <c r="Q12" s="6">
        <v>3.148936</v>
      </c>
      <c r="R12" s="6">
        <v>4.3404259999999999</v>
      </c>
      <c r="S12" s="6">
        <v>4.1702130000000004</v>
      </c>
      <c r="T12" s="6">
        <v>4.1702130000000004</v>
      </c>
      <c r="U12" s="6">
        <v>3.148936</v>
      </c>
      <c r="V12" s="6">
        <v>2.2978719999999999</v>
      </c>
      <c r="W12" s="6">
        <v>1.2765960000000001</v>
      </c>
      <c r="X12" s="6">
        <v>0.25531914900000002</v>
      </c>
      <c r="Y12" s="6">
        <v>-0.76595999999999997</v>
      </c>
      <c r="Z12" s="6">
        <v>-1.7872300000000001</v>
      </c>
      <c r="AA12" s="6">
        <v>-1.7872300000000001</v>
      </c>
      <c r="AB12" s="6">
        <v>-0.76595999999999997</v>
      </c>
    </row>
    <row r="13" spans="3:28" x14ac:dyDescent="0.15">
      <c r="C13" s="4">
        <v>11</v>
      </c>
      <c r="D13" s="4" t="s">
        <v>9</v>
      </c>
      <c r="E13" s="6">
        <v>-1.7985743512974302</v>
      </c>
      <c r="F13" s="6">
        <v>-1.6289020997093351</v>
      </c>
      <c r="G13" s="6">
        <v>-2.6284395554859188</v>
      </c>
      <c r="H13" s="6">
        <v>-2.6284395554859188</v>
      </c>
      <c r="I13" s="6">
        <v>-4.2927420136759729</v>
      </c>
      <c r="J13" s="6">
        <v>-4.625343636804808</v>
      </c>
      <c r="K13" s="6">
        <v>-5.6227483950015298</v>
      </c>
      <c r="L13" s="6">
        <v>-5.6227483950015298</v>
      </c>
      <c r="M13" s="6">
        <v>-5.0627150435040917</v>
      </c>
      <c r="N13" s="6">
        <v>-1.5109884034197467</v>
      </c>
      <c r="O13" s="6">
        <v>2.8645939573180872</v>
      </c>
      <c r="P13" s="6">
        <v>6.4028224825944795</v>
      </c>
      <c r="Q13" s="6">
        <v>7.1273119240756229</v>
      </c>
      <c r="R13" s="6">
        <v>7.889626064541293</v>
      </c>
      <c r="S13" s="6">
        <v>6.267341969322441</v>
      </c>
      <c r="T13" s="6">
        <v>4.1255800781292429</v>
      </c>
      <c r="U13" s="6">
        <v>1.1426845305079887</v>
      </c>
      <c r="V13" s="6">
        <v>-0.62859241083298345</v>
      </c>
      <c r="W13" s="6">
        <v>-1.6289020997093351</v>
      </c>
      <c r="X13" s="6">
        <v>-2.6284394127722468</v>
      </c>
      <c r="Y13" s="6">
        <v>-3.6272872914146697</v>
      </c>
      <c r="Z13" s="6">
        <v>-4.625343636804808</v>
      </c>
      <c r="AA13" s="6">
        <v>-4.625343636804808</v>
      </c>
      <c r="AB13" s="6">
        <v>-3.6272872914146697</v>
      </c>
    </row>
    <row r="14" spans="3:28" x14ac:dyDescent="0.15">
      <c r="C14" s="4">
        <v>12</v>
      </c>
      <c r="D14" s="4" t="s">
        <v>20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10.080600326953888</v>
      </c>
      <c r="N14" s="6">
        <v>41.088551332340465</v>
      </c>
      <c r="O14" s="6">
        <v>80.882929026493599</v>
      </c>
      <c r="P14" s="6">
        <v>111.54920014042816</v>
      </c>
      <c r="Q14" s="6">
        <v>124.59001008708876</v>
      </c>
      <c r="R14" s="6">
        <v>117.2705080548393</v>
      </c>
      <c r="S14" s="6">
        <v>91.076841286190898</v>
      </c>
      <c r="T14" s="6">
        <v>52.525127244713339</v>
      </c>
      <c r="U14" s="6">
        <v>16.866717002871319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</row>
    <row r="15" spans="3:28" x14ac:dyDescent="0.15">
      <c r="C15" s="4">
        <v>13</v>
      </c>
      <c r="D15" s="4" t="s">
        <v>10</v>
      </c>
      <c r="E15" s="6">
        <v>52.233738323353563</v>
      </c>
      <c r="F15" s="6">
        <v>52.298965794767739</v>
      </c>
      <c r="G15" s="6">
        <v>51.907653998746284</v>
      </c>
      <c r="H15" s="6">
        <v>51.907653998746284</v>
      </c>
      <c r="I15" s="6">
        <v>51.22677624616702</v>
      </c>
      <c r="J15" s="6">
        <v>51.08604546248614</v>
      </c>
      <c r="K15" s="6">
        <v>50.656291110027311</v>
      </c>
      <c r="L15" s="6">
        <v>50.656291110027311</v>
      </c>
      <c r="M15" s="6">
        <v>50.656291110027311</v>
      </c>
      <c r="N15" s="6">
        <v>51.435282593895835</v>
      </c>
      <c r="O15" s="6">
        <v>52.298965794767739</v>
      </c>
      <c r="P15" s="6">
        <v>52.979243453727378</v>
      </c>
      <c r="Q15" s="6">
        <v>52.979243453727378</v>
      </c>
      <c r="R15" s="6">
        <v>53.384906893095661</v>
      </c>
      <c r="S15" s="6">
        <v>53.328519838386782</v>
      </c>
      <c r="T15" s="6">
        <v>53.328519838386782</v>
      </c>
      <c r="U15" s="6">
        <v>52.979243453727378</v>
      </c>
      <c r="V15" s="6">
        <v>52.676359394993412</v>
      </c>
      <c r="W15" s="6">
        <v>52.298965794767739</v>
      </c>
      <c r="X15" s="6">
        <v>51.90765411190047</v>
      </c>
      <c r="Y15" s="6">
        <v>51.503891245463933</v>
      </c>
      <c r="Z15" s="6">
        <v>51.08604546248614</v>
      </c>
      <c r="AA15" s="6">
        <v>51.08604546248614</v>
      </c>
      <c r="AB15" s="6">
        <v>51.503891245463933</v>
      </c>
    </row>
    <row r="16" spans="3:28" x14ac:dyDescent="0.15">
      <c r="C16" s="4">
        <v>14</v>
      </c>
      <c r="D16" s="5" t="s">
        <v>21</v>
      </c>
      <c r="E16" s="6">
        <v>-20.807634728052776</v>
      </c>
      <c r="F16" s="6">
        <v>-20.80362168706095</v>
      </c>
      <c r="G16" s="6">
        <v>-20.803688686683724</v>
      </c>
      <c r="H16" s="6">
        <v>-20.808120771890721</v>
      </c>
      <c r="I16" s="6">
        <v>-20.817000640075577</v>
      </c>
      <c r="J16" s="6">
        <v>-20.830121256550989</v>
      </c>
      <c r="K16" s="6">
        <v>-20.846920832720713</v>
      </c>
      <c r="L16" s="6">
        <v>-20.866442305543764</v>
      </c>
      <c r="M16" s="6">
        <v>-20.887337912117907</v>
      </c>
      <c r="N16" s="6">
        <v>-20.907951800144431</v>
      </c>
      <c r="O16" s="6">
        <v>-20.926487140250533</v>
      </c>
      <c r="P16" s="6">
        <v>-20.941227934694496</v>
      </c>
      <c r="Q16" s="6">
        <v>-20.950770860097663</v>
      </c>
      <c r="R16" s="6">
        <v>-20.954226666386578</v>
      </c>
      <c r="S16" s="6">
        <v>-20.951356815210868</v>
      </c>
      <c r="T16" s="6">
        <v>-20.94261224508994</v>
      </c>
      <c r="U16" s="6">
        <v>-20.929049223239709</v>
      </c>
      <c r="V16" s="6">
        <v>-20.912127537453749</v>
      </c>
      <c r="W16" s="6">
        <v>-20.893442851797772</v>
      </c>
      <c r="X16" s="6">
        <v>-20.874475409950129</v>
      </c>
      <c r="Y16" s="6">
        <v>-20.856426086702669</v>
      </c>
      <c r="Z16" s="6">
        <v>-20.840171258971765</v>
      </c>
      <c r="AA16" s="6">
        <v>-20.826322331780919</v>
      </c>
      <c r="AB16" s="6">
        <v>-20.815339240182269</v>
      </c>
    </row>
    <row r="17" spans="3:28" x14ac:dyDescent="0.15">
      <c r="C17" s="4">
        <v>15</v>
      </c>
      <c r="D17" s="5" t="s">
        <v>11</v>
      </c>
      <c r="E17" s="6">
        <v>-1935.1772233624972</v>
      </c>
      <c r="F17" s="6">
        <v>-1934.8039975910292</v>
      </c>
      <c r="G17" s="6">
        <v>-1934.8102287723077</v>
      </c>
      <c r="H17" s="6">
        <v>-1935.2224270089971</v>
      </c>
      <c r="I17" s="6">
        <v>-1936.0482834257589</v>
      </c>
      <c r="J17" s="6">
        <v>-1937.2685431281006</v>
      </c>
      <c r="K17" s="6">
        <v>-1938.8309579624001</v>
      </c>
      <c r="L17" s="6">
        <v>-1940.646517975222</v>
      </c>
      <c r="M17" s="6">
        <v>-1942.5898768643565</v>
      </c>
      <c r="N17" s="6">
        <v>-1944.5070350188148</v>
      </c>
      <c r="O17" s="6">
        <v>-1946.230881504463</v>
      </c>
      <c r="P17" s="6">
        <v>-1947.6018229898864</v>
      </c>
      <c r="Q17" s="6">
        <v>-1948.4893458691477</v>
      </c>
      <c r="R17" s="6">
        <v>-1948.8107470137788</v>
      </c>
      <c r="S17" s="6">
        <v>-1948.5438415868882</v>
      </c>
      <c r="T17" s="6">
        <v>-1947.7305683269869</v>
      </c>
      <c r="U17" s="6">
        <v>-1946.4691634961366</v>
      </c>
      <c r="V17" s="6">
        <v>-1944.8953920732013</v>
      </c>
      <c r="W17" s="6">
        <v>-1943.1576559691364</v>
      </c>
      <c r="X17" s="6">
        <v>-1941.3936226261478</v>
      </c>
      <c r="Y17" s="6">
        <v>-1939.7149772778371</v>
      </c>
      <c r="Z17" s="6">
        <v>-1938.2032258074926</v>
      </c>
      <c r="AA17" s="6">
        <v>-1936.915230856697</v>
      </c>
      <c r="AB17" s="6">
        <v>-1935.8937678705577</v>
      </c>
    </row>
    <row r="18" spans="3:28" x14ac:dyDescent="0.15">
      <c r="C18" s="4">
        <v>16</v>
      </c>
      <c r="D18" s="5" t="s">
        <v>12</v>
      </c>
      <c r="E18" s="6">
        <v>-338.02356490560004</v>
      </c>
      <c r="F18" s="6">
        <v>-334.92365160307202</v>
      </c>
      <c r="G18" s="6">
        <v>-353.192221898208</v>
      </c>
      <c r="H18" s="6">
        <v>-353.192221898208</v>
      </c>
      <c r="I18" s="6">
        <v>-383.63985098208002</v>
      </c>
      <c r="J18" s="6">
        <v>-389.72927304864004</v>
      </c>
      <c r="K18" s="6">
        <v>-407.99789700767997</v>
      </c>
      <c r="L18" s="6">
        <v>-407.99789700767997</v>
      </c>
      <c r="M18" s="6">
        <v>-407.99789700767997</v>
      </c>
      <c r="N18" s="6">
        <v>-374.50553900256006</v>
      </c>
      <c r="O18" s="6">
        <v>-334.92365160307202</v>
      </c>
      <c r="P18" s="6">
        <v>-301.43129359795205</v>
      </c>
      <c r="Q18" s="6">
        <v>-301.43129359795205</v>
      </c>
      <c r="R18" s="6">
        <v>-280.117958605632</v>
      </c>
      <c r="S18" s="6">
        <v>-283.162723302816</v>
      </c>
      <c r="T18" s="6">
        <v>-283.162723302816</v>
      </c>
      <c r="U18" s="6">
        <v>-301.43129359795205</v>
      </c>
      <c r="V18" s="6">
        <v>-316.65509919590403</v>
      </c>
      <c r="W18" s="6">
        <v>-334.92365160307202</v>
      </c>
      <c r="X18" s="6">
        <v>-353.1922192329007</v>
      </c>
      <c r="Y18" s="6">
        <v>-371.46082796927999</v>
      </c>
      <c r="Z18" s="6">
        <v>-389.72927304864004</v>
      </c>
      <c r="AA18" s="6">
        <v>-389.72927304864004</v>
      </c>
      <c r="AB18" s="6">
        <v>-371.46082796927999</v>
      </c>
    </row>
    <row r="19" spans="3:28" x14ac:dyDescent="0.15">
      <c r="C19" s="4">
        <v>17</v>
      </c>
      <c r="D19" s="5" t="s">
        <v>22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288.99931763159725</v>
      </c>
      <c r="N19" s="6">
        <v>866.14231845331574</v>
      </c>
      <c r="O19" s="6">
        <v>1265.1088267366165</v>
      </c>
      <c r="P19" s="6">
        <v>1491.6009894993822</v>
      </c>
      <c r="Q19" s="6">
        <v>1576.2995342667782</v>
      </c>
      <c r="R19" s="6">
        <v>1529.4519652605209</v>
      </c>
      <c r="S19" s="6">
        <v>1345.5328038496207</v>
      </c>
      <c r="T19" s="6">
        <v>1000.111672309095</v>
      </c>
      <c r="U19" s="6">
        <v>462.38839975109772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</row>
    <row r="20" spans="3:28" x14ac:dyDescent="0.15">
      <c r="E20">
        <v>2273.2007882680973</v>
      </c>
      <c r="F20">
        <v>2269.7276491941011</v>
      </c>
      <c r="G20">
        <v>2288.0024506705158</v>
      </c>
      <c r="H20">
        <v>2288.414648907205</v>
      </c>
      <c r="I20">
        <v>2319.6881344078388</v>
      </c>
      <c r="J20">
        <v>2326.9978161767408</v>
      </c>
      <c r="K20">
        <v>2346.8288549700801</v>
      </c>
      <c r="L20">
        <v>2348.6444149829022</v>
      </c>
      <c r="M20">
        <v>2061.5884562404394</v>
      </c>
      <c r="N20">
        <v>1452.8702555680591</v>
      </c>
      <c r="O20">
        <v>1016.0457063709185</v>
      </c>
      <c r="P20">
        <v>757.43212708845613</v>
      </c>
      <c r="Q20">
        <v>673.62110520032161</v>
      </c>
      <c r="R20">
        <v>699.47674035888986</v>
      </c>
      <c r="S20">
        <v>886.17376104008349</v>
      </c>
      <c r="T20">
        <v>1230.7816193207079</v>
      </c>
      <c r="U20">
        <v>1785.5120573429911</v>
      </c>
      <c r="V20">
        <v>2261.5504912691054</v>
      </c>
      <c r="W20">
        <v>2278.0813075722085</v>
      </c>
      <c r="X20">
        <v>2294.5858418590487</v>
      </c>
      <c r="Y20">
        <v>2311.1758052471168</v>
      </c>
      <c r="Z20">
        <v>2327.9324988561325</v>
      </c>
      <c r="AA20">
        <v>2326.6445039053369</v>
      </c>
      <c r="AB20">
        <v>2307.3545958398377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基本数据</vt:lpstr>
      <vt:lpstr>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王乔志</dc:creator>
  <cp:lastModifiedBy>王乔志</cp:lastModifiedBy>
  <cp:lastPrinted>2013-10-07T06:20:45Z</cp:lastPrinted>
  <dcterms:created xsi:type="dcterms:W3CDTF">2013-09-17T19:05:14Z</dcterms:created>
  <dcterms:modified xsi:type="dcterms:W3CDTF">2013-10-07T14:45:57Z</dcterms:modified>
</cp:coreProperties>
</file>